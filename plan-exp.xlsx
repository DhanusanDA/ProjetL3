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t\"/>
    </mc:Choice>
  </mc:AlternateContent>
  <xr:revisionPtr revIDLastSave="0" documentId="13_ncr:1_{532EA066-C422-40B7-8E58-39A059DC5BE1}" xr6:coauthVersionLast="47" xr6:coauthVersionMax="47" xr10:uidLastSave="{00000000-0000-0000-0000-000000000000}"/>
  <bookViews>
    <workbookView xWindow="-120" yWindow="-120" windowWidth="29040" windowHeight="15840" xr2:uid="{2D3F52B5-6C30-4FDD-8385-C6CA21284A1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1" l="1"/>
  <c r="K18" i="1"/>
  <c r="K17" i="1"/>
  <c r="K16" i="1"/>
  <c r="K15" i="1"/>
  <c r="K14" i="1"/>
  <c r="K13" i="1"/>
  <c r="K12" i="1"/>
  <c r="K11" i="1"/>
  <c r="G19" i="1"/>
  <c r="G18" i="1"/>
  <c r="J18" i="1" s="1"/>
  <c r="G17" i="1"/>
  <c r="G16" i="1"/>
  <c r="G15" i="1"/>
  <c r="G14" i="1"/>
  <c r="G13" i="1"/>
  <c r="J13" i="1" s="1"/>
  <c r="G12" i="1"/>
  <c r="J12" i="1" s="1"/>
  <c r="G11" i="1"/>
  <c r="F19" i="1"/>
  <c r="I19" i="1" s="1"/>
  <c r="F18" i="1"/>
  <c r="F17" i="1"/>
  <c r="F16" i="1"/>
  <c r="I16" i="1" s="1"/>
  <c r="F15" i="1"/>
  <c r="F14" i="1"/>
  <c r="F13" i="1"/>
  <c r="I13" i="1" s="1"/>
  <c r="F12" i="1"/>
  <c r="F11" i="1"/>
  <c r="J14" i="1"/>
  <c r="J15" i="1"/>
  <c r="J16" i="1"/>
  <c r="J17" i="1"/>
  <c r="J19" i="1"/>
  <c r="J11" i="1"/>
  <c r="I12" i="1"/>
  <c r="I14" i="1"/>
  <c r="I17" i="1"/>
  <c r="I11" i="1"/>
  <c r="H14" i="1"/>
  <c r="H18" i="1"/>
  <c r="H11" i="1"/>
  <c r="I18" i="1" l="1"/>
  <c r="O34" i="1" s="1" a="1"/>
  <c r="O34" i="1" s="1"/>
  <c r="H12" i="1"/>
  <c r="H17" i="1"/>
  <c r="H19" i="1"/>
  <c r="H16" i="1"/>
  <c r="H15" i="1"/>
  <c r="I15" i="1"/>
  <c r="H13" i="1"/>
  <c r="F24" i="1" l="1" a="1"/>
  <c r="F24" i="1" s="1"/>
  <c r="O24" i="1" s="1" a="1"/>
  <c r="O24" i="1" s="1"/>
  <c r="G33" i="1" s="1" a="1"/>
  <c r="G33" i="1" s="1"/>
  <c r="W10" i="1" a="1"/>
  <c r="W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<sst xmlns="http://schemas.openxmlformats.org/spreadsheetml/2006/main" count="48" uniqueCount="42">
  <si>
    <t>facteur X1</t>
  </si>
  <si>
    <t>facteur X2</t>
  </si>
  <si>
    <t>parametre</t>
  </si>
  <si>
    <t>angle</t>
  </si>
  <si>
    <t>v0</t>
  </si>
  <si>
    <t>H m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</si>
  <si>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</si>
  <si>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</si>
  <si>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</si>
  <si>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</si>
  <si>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</si>
  <si>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</si>
  <si>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</si>
  <si>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</si>
  <si>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</si>
  <si>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Matrice C</t>
  </si>
  <si>
    <t>a0</t>
  </si>
  <si>
    <t>a1</t>
  </si>
  <si>
    <t>a2</t>
  </si>
  <si>
    <t>a12</t>
  </si>
  <si>
    <t>a11</t>
  </si>
  <si>
    <t>a22</t>
  </si>
  <si>
    <t>X1</t>
  </si>
  <si>
    <t>X2</t>
  </si>
  <si>
    <t>X1*X2</t>
  </si>
  <si>
    <t>X1**2</t>
  </si>
  <si>
    <t>X2**2</t>
  </si>
  <si>
    <t>essaie 1</t>
  </si>
  <si>
    <t>essaie 2</t>
  </si>
  <si>
    <t>essaie 3</t>
  </si>
  <si>
    <t>essaie 4</t>
  </si>
  <si>
    <t>essaie 5</t>
  </si>
  <si>
    <t>essaie 6</t>
  </si>
  <si>
    <t>essaie 7</t>
  </si>
  <si>
    <t>essaie 8</t>
  </si>
  <si>
    <t>essaie 9</t>
  </si>
  <si>
    <t>Y</t>
  </si>
  <si>
    <t>Matrice Ct</t>
  </si>
  <si>
    <t>Matrice Ct*C</t>
  </si>
  <si>
    <t>Matrice inv</t>
  </si>
  <si>
    <t>a</t>
  </si>
  <si>
    <t>Ct*Y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</si>
</sst>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C36E-D777-4771-8B52-1F48CE3A1098}">
  <dimension ref="A2:W43"/>
  <sheetViews>
    <sheetView tabSelected="1" workbookViewId="0">
      <selection activeCell="L43" sqref="L43"/>
    </sheetView>
  </sheetViews>
  <sheetFormatPr baseColWidth="10" defaultRowHeight="15" x14ac:dyDescent="0.25"/>
  <sheetData>
    <row r="2" spans="1:23" x14ac:dyDescent="0.25">
      <c r="A2" s="1" t="s">
        <v>0</v>
      </c>
      <c r="B2" s="1" t="s">
        <v>3</v>
      </c>
      <c r="C2" s="1">
        <v>10</v>
      </c>
      <c r="D2" s="4" t="s">
        <v>6</v>
      </c>
      <c r="E2" s="1">
        <v>50</v>
      </c>
      <c r="F2" s="4" t="s">
        <v>7</v>
      </c>
      <c r="G2" s="1">
        <v>50</v>
      </c>
      <c r="H2" s="4" t="s">
        <v>8</v>
      </c>
      <c r="I2" s="1">
        <v>10</v>
      </c>
      <c r="J2" s="4" t="s">
        <v>9</v>
      </c>
      <c r="K2" s="1">
        <v>50</v>
      </c>
      <c r="L2" s="4" t="s">
        <v>10</v>
      </c>
      <c r="M2" s="1">
        <v>30</v>
      </c>
      <c r="N2" s="4" t="s">
        <v>11</v>
      </c>
      <c r="O2" s="1">
        <v>10</v>
      </c>
      <c r="P2" s="4" t="s">
        <v>12</v>
      </c>
      <c r="Q2" s="1">
        <v>30</v>
      </c>
      <c r="R2" s="4" t="s">
        <v>13</v>
      </c>
      <c r="S2" s="1">
        <v>30</v>
      </c>
      <c r="T2" s="4" t="s">
        <v>14</v>
      </c>
    </row>
    <row r="3" spans="1:23" x14ac:dyDescent="0.25">
      <c r="A3" s="2" t="s">
        <v>1</v>
      </c>
      <c r="B3" s="2" t="s">
        <v>4</v>
      </c>
      <c r="C3" s="2">
        <v>8</v>
      </c>
      <c r="D3" s="4"/>
      <c r="E3" s="2">
        <v>8</v>
      </c>
      <c r="F3" s="4"/>
      <c r="G3" s="2">
        <v>10</v>
      </c>
      <c r="H3" s="4"/>
      <c r="I3" s="2">
        <v>10</v>
      </c>
      <c r="J3" s="4"/>
      <c r="K3" s="2">
        <v>9</v>
      </c>
      <c r="L3" s="4"/>
      <c r="M3" s="2">
        <v>9</v>
      </c>
      <c r="N3" s="4"/>
      <c r="O3" s="2">
        <v>9</v>
      </c>
      <c r="P3" s="4"/>
      <c r="Q3" s="2">
        <v>8</v>
      </c>
      <c r="R3" s="4"/>
      <c r="S3" s="2">
        <v>10</v>
      </c>
      <c r="T3" s="4"/>
    </row>
    <row r="4" spans="1:23" x14ac:dyDescent="0.25">
      <c r="A4" s="3" t="s">
        <v>2</v>
      </c>
      <c r="B4" s="3" t="s">
        <v>5</v>
      </c>
      <c r="C4" s="3">
        <v>1</v>
      </c>
      <c r="D4" s="4">
        <v>2.19</v>
      </c>
      <c r="E4" s="3">
        <v>1</v>
      </c>
      <c r="F4" s="4">
        <v>6.3</v>
      </c>
      <c r="G4" s="3">
        <v>1</v>
      </c>
      <c r="H4" s="4">
        <v>9.85</v>
      </c>
      <c r="I4" s="3">
        <v>1</v>
      </c>
      <c r="J4" s="4">
        <v>3.42</v>
      </c>
      <c r="K4" s="3">
        <v>1</v>
      </c>
      <c r="L4" s="4">
        <v>7.98</v>
      </c>
      <c r="M4" s="3">
        <v>1</v>
      </c>
      <c r="N4" s="4">
        <v>7.01</v>
      </c>
      <c r="O4" s="3">
        <v>1</v>
      </c>
      <c r="P4" s="4">
        <v>2.77</v>
      </c>
      <c r="Q4" s="3">
        <v>8</v>
      </c>
      <c r="R4" s="4">
        <v>5.54</v>
      </c>
      <c r="S4" s="3">
        <v>1</v>
      </c>
      <c r="T4" s="4">
        <v>8.66</v>
      </c>
    </row>
    <row r="9" spans="1:23" x14ac:dyDescent="0.25">
      <c r="D9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N9" s="7"/>
      <c r="O9" s="7"/>
      <c r="P9" s="7"/>
      <c r="Q9" s="7"/>
      <c r="R9" s="7"/>
      <c r="S9" s="7"/>
      <c r="T9" s="7"/>
    </row>
    <row r="10" spans="1:23" x14ac:dyDescent="0.25">
      <c r="E10" s="5"/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26</v>
      </c>
      <c r="K10" s="4" t="s">
        <v>36</v>
      </c>
      <c r="N10" s="7"/>
      <c r="O10" s="7"/>
      <c r="P10" s="7"/>
      <c r="Q10" s="7"/>
      <c r="R10" s="7"/>
      <c r="S10" s="7"/>
      <c r="T10" s="7"/>
      <c r="V10" s="3" t="s">
        <v>41</v>
      </c>
      <c r="W10" s="3" cm="1">
        <f t="array" ref="W10:W15">MMULT(_xlfn.ANCHORARRAY(O34),K11:K19)</f>
        <v>53.72</v>
      </c>
    </row>
    <row r="11" spans="1:23" x14ac:dyDescent="0.25">
      <c r="D11" t="s">
        <v>27</v>
      </c>
      <c r="E11" s="5">
        <v>1</v>
      </c>
      <c r="F11" s="5">
        <f>C2</f>
        <v>10</v>
      </c>
      <c r="G11" s="5">
        <f>C3</f>
        <v>8</v>
      </c>
      <c r="H11" s="5">
        <f>F11*G11</f>
        <v>80</v>
      </c>
      <c r="I11" s="5">
        <f>F11^2</f>
        <v>100</v>
      </c>
      <c r="J11" s="5">
        <f>G11^2</f>
        <v>64</v>
      </c>
      <c r="K11" s="4">
        <f>D4</f>
        <v>2.19</v>
      </c>
      <c r="N11" s="7"/>
      <c r="O11" s="7"/>
      <c r="P11" s="7"/>
      <c r="Q11" s="7"/>
      <c r="R11" s="7"/>
      <c r="S11" s="7"/>
      <c r="T11" s="7"/>
      <c r="W11" s="3">
        <v>1926.6</v>
      </c>
    </row>
    <row r="12" spans="1:23" x14ac:dyDescent="0.25">
      <c r="D12" t="s">
        <v>28</v>
      </c>
      <c r="E12" s="5">
        <v>1</v>
      </c>
      <c r="F12" s="5">
        <f>E2</f>
        <v>50</v>
      </c>
      <c r="G12" s="5">
        <f>E3</f>
        <v>8</v>
      </c>
      <c r="H12" s="5">
        <f t="shared" ref="H12:H19" si="0">F12*G12</f>
        <v>400</v>
      </c>
      <c r="I12" s="5">
        <f t="shared" ref="I12:I19" si="1">F12^2</f>
        <v>2500</v>
      </c>
      <c r="J12" s="5">
        <f t="shared" ref="J12:J19" si="2">G12^2</f>
        <v>64</v>
      </c>
      <c r="K12" s="4">
        <f>F4</f>
        <v>6.3</v>
      </c>
      <c r="N12" s="7"/>
      <c r="O12" s="7"/>
      <c r="P12" s="7"/>
      <c r="Q12" s="7"/>
      <c r="R12" s="7"/>
      <c r="S12" s="7"/>
      <c r="T12" s="7"/>
      <c r="W12" s="3">
        <v>491.38</v>
      </c>
    </row>
    <row r="13" spans="1:23" x14ac:dyDescent="0.25">
      <c r="D13" t="s">
        <v>29</v>
      </c>
      <c r="E13" s="5">
        <v>1</v>
      </c>
      <c r="F13" s="5">
        <f>G2</f>
        <v>50</v>
      </c>
      <c r="G13" s="5">
        <f>G3</f>
        <v>10</v>
      </c>
      <c r="H13" s="5">
        <f t="shared" si="0"/>
        <v>500</v>
      </c>
      <c r="I13" s="5">
        <f t="shared" si="1"/>
        <v>2500</v>
      </c>
      <c r="J13" s="5">
        <f t="shared" si="2"/>
        <v>100</v>
      </c>
      <c r="K13" s="4">
        <f>H4</f>
        <v>9.85</v>
      </c>
      <c r="N13" s="7"/>
      <c r="O13" s="7"/>
      <c r="P13" s="7"/>
      <c r="Q13" s="7"/>
      <c r="R13" s="7"/>
      <c r="S13" s="7"/>
      <c r="T13" s="7"/>
      <c r="W13" s="3">
        <v>17622.800000000003</v>
      </c>
    </row>
    <row r="14" spans="1:23" x14ac:dyDescent="0.25">
      <c r="D14" t="s">
        <v>30</v>
      </c>
      <c r="E14" s="5">
        <v>1</v>
      </c>
      <c r="F14" s="5">
        <f>I2</f>
        <v>10</v>
      </c>
      <c r="G14" s="5">
        <f>I3</f>
        <v>10</v>
      </c>
      <c r="H14" s="5">
        <f t="shared" si="0"/>
        <v>100</v>
      </c>
      <c r="I14" s="5">
        <f t="shared" si="1"/>
        <v>100</v>
      </c>
      <c r="J14" s="5">
        <f t="shared" si="2"/>
        <v>100</v>
      </c>
      <c r="K14" s="4">
        <f>J4</f>
        <v>3.42</v>
      </c>
      <c r="N14" s="7"/>
      <c r="O14" s="7"/>
      <c r="P14" s="7"/>
      <c r="Q14" s="7"/>
      <c r="R14" s="7"/>
      <c r="S14" s="7"/>
      <c r="T14" s="7"/>
      <c r="W14" s="3">
        <v>80252</v>
      </c>
    </row>
    <row r="15" spans="1:23" x14ac:dyDescent="0.25">
      <c r="D15" t="s">
        <v>31</v>
      </c>
      <c r="E15" s="5">
        <v>1</v>
      </c>
      <c r="F15" s="5">
        <f>K2</f>
        <v>50</v>
      </c>
      <c r="G15" s="5">
        <f>K3</f>
        <v>9</v>
      </c>
      <c r="H15" s="5">
        <f t="shared" si="0"/>
        <v>450</v>
      </c>
      <c r="I15" s="5">
        <f t="shared" si="1"/>
        <v>2500</v>
      </c>
      <c r="J15" s="5">
        <f t="shared" si="2"/>
        <v>81</v>
      </c>
      <c r="K15" s="4">
        <f>L4</f>
        <v>7.98</v>
      </c>
      <c r="N15" s="7"/>
      <c r="O15" s="7"/>
      <c r="P15" s="7"/>
      <c r="Q15" s="7"/>
      <c r="R15" s="7"/>
      <c r="S15" s="7"/>
      <c r="T15" s="7"/>
      <c r="W15" s="3">
        <v>4529.4799999999996</v>
      </c>
    </row>
    <row r="16" spans="1:23" x14ac:dyDescent="0.25">
      <c r="D16" t="s">
        <v>32</v>
      </c>
      <c r="E16" s="5">
        <v>1</v>
      </c>
      <c r="F16" s="5">
        <f>M2</f>
        <v>30</v>
      </c>
      <c r="G16" s="5">
        <f>M3</f>
        <v>9</v>
      </c>
      <c r="H16" s="5">
        <f t="shared" si="0"/>
        <v>270</v>
      </c>
      <c r="I16" s="5">
        <f t="shared" si="1"/>
        <v>900</v>
      </c>
      <c r="J16" s="5">
        <f t="shared" si="2"/>
        <v>81</v>
      </c>
      <c r="K16" s="4">
        <f>N4</f>
        <v>7.01</v>
      </c>
    </row>
    <row r="17" spans="4:20" x14ac:dyDescent="0.25">
      <c r="D17" t="s">
        <v>33</v>
      </c>
      <c r="E17" s="5">
        <v>1</v>
      </c>
      <c r="F17" s="5">
        <f>O2</f>
        <v>10</v>
      </c>
      <c r="G17" s="5">
        <f>O3</f>
        <v>9</v>
      </c>
      <c r="H17" s="5">
        <f t="shared" si="0"/>
        <v>90</v>
      </c>
      <c r="I17" s="5">
        <f t="shared" si="1"/>
        <v>100</v>
      </c>
      <c r="J17" s="5">
        <f t="shared" si="2"/>
        <v>81</v>
      </c>
      <c r="K17" s="4">
        <f>P4</f>
        <v>2.77</v>
      </c>
    </row>
    <row r="18" spans="4:20" x14ac:dyDescent="0.25">
      <c r="D18" t="s">
        <v>34</v>
      </c>
      <c r="E18" s="5">
        <v>1</v>
      </c>
      <c r="F18" s="5">
        <f>Q2</f>
        <v>30</v>
      </c>
      <c r="G18" s="5">
        <f>Q3</f>
        <v>8</v>
      </c>
      <c r="H18" s="5">
        <f t="shared" si="0"/>
        <v>240</v>
      </c>
      <c r="I18" s="5">
        <f t="shared" si="1"/>
        <v>900</v>
      </c>
      <c r="J18" s="5">
        <f t="shared" si="2"/>
        <v>64</v>
      </c>
      <c r="K18" s="4">
        <f>R4</f>
        <v>5.54</v>
      </c>
    </row>
    <row r="19" spans="4:20" x14ac:dyDescent="0.25">
      <c r="D19" t="s">
        <v>35</v>
      </c>
      <c r="E19" s="5">
        <v>1</v>
      </c>
      <c r="F19" s="5">
        <f>S2</f>
        <v>30</v>
      </c>
      <c r="G19" s="5">
        <f>S3</f>
        <v>10</v>
      </c>
      <c r="H19" s="5">
        <f t="shared" si="0"/>
        <v>300</v>
      </c>
      <c r="I19" s="5">
        <f t="shared" si="1"/>
        <v>900</v>
      </c>
      <c r="J19" s="5">
        <f t="shared" si="2"/>
        <v>100</v>
      </c>
      <c r="K19" s="4">
        <f>T4</f>
        <v>8.66</v>
      </c>
    </row>
    <row r="23" spans="4:20" x14ac:dyDescent="0.25">
      <c r="D23" s="5" t="s">
        <v>38</v>
      </c>
      <c r="N23" s="5" t="s">
        <v>39</v>
      </c>
    </row>
    <row r="24" spans="4:20" x14ac:dyDescent="0.25">
      <c r="F24" s="5" cm="1">
        <f t="array" ref="F24:K29">MMULT(_xlfn.ANCHORARRAY(O34),E11:J19)</f>
        <v>9</v>
      </c>
      <c r="G24" s="5">
        <v>270</v>
      </c>
      <c r="H24" s="5">
        <v>81</v>
      </c>
      <c r="I24" s="5">
        <v>2430</v>
      </c>
      <c r="J24" s="5">
        <v>10500</v>
      </c>
      <c r="K24" s="5">
        <v>735</v>
      </c>
      <c r="O24" s="5" cm="1">
        <f t="array" ref="O24:T29">MINVERSE(_xlfn.ANCHORARRAY(F24))</f>
        <v>3287.5243055399715</v>
      </c>
      <c r="P24" s="5">
        <v>-1.6499999999766028</v>
      </c>
      <c r="Q24" s="5">
        <v>-729.56249999659371</v>
      </c>
      <c r="R24" s="5">
        <v>0.16874999999736642</v>
      </c>
      <c r="S24" s="5">
        <v>1.9791666666774585E-3</v>
      </c>
      <c r="T24" s="5">
        <v>40.166666666482172</v>
      </c>
    </row>
    <row r="25" spans="4:20" x14ac:dyDescent="0.25">
      <c r="F25" s="5">
        <v>270</v>
      </c>
      <c r="G25" s="5">
        <v>10500</v>
      </c>
      <c r="H25" s="5">
        <v>2430</v>
      </c>
      <c r="I25" s="5">
        <v>94500</v>
      </c>
      <c r="J25" s="5">
        <v>459000</v>
      </c>
      <c r="K25" s="5">
        <v>22050</v>
      </c>
      <c r="O25" s="5">
        <v>-1.6499999999999231</v>
      </c>
      <c r="P25" s="5">
        <v>6.2291666666661784E-2</v>
      </c>
      <c r="Q25" s="5">
        <v>0.16874999999999968</v>
      </c>
      <c r="R25" s="5">
        <v>-5.6249999999994135E-3</v>
      </c>
      <c r="S25" s="5">
        <v>-1.8750000000000816E-4</v>
      </c>
      <c r="T25" s="5">
        <v>-9.5016046146477306E-16</v>
      </c>
    </row>
    <row r="26" spans="4:20" x14ac:dyDescent="0.25">
      <c r="F26" s="5">
        <v>81</v>
      </c>
      <c r="G26" s="5">
        <v>2430</v>
      </c>
      <c r="H26" s="5">
        <v>735</v>
      </c>
      <c r="I26" s="5">
        <v>22050</v>
      </c>
      <c r="J26" s="5">
        <v>94500</v>
      </c>
      <c r="K26" s="5">
        <v>6723</v>
      </c>
      <c r="O26" s="5">
        <v>-729.56249999650811</v>
      </c>
      <c r="P26" s="5">
        <v>0.16874999999477519</v>
      </c>
      <c r="Q26" s="5">
        <v>162.72916666590345</v>
      </c>
      <c r="R26" s="5">
        <v>-1.874999999941206E-2</v>
      </c>
      <c r="S26" s="5">
        <v>-2.3822698166037376E-15</v>
      </c>
      <c r="T26" s="5">
        <v>-8.9999999999586588</v>
      </c>
    </row>
    <row r="27" spans="4:20" x14ac:dyDescent="0.25">
      <c r="F27" s="5">
        <v>2430</v>
      </c>
      <c r="G27" s="5">
        <v>94500</v>
      </c>
      <c r="H27" s="5">
        <v>22050</v>
      </c>
      <c r="I27" s="5">
        <v>857500</v>
      </c>
      <c r="J27" s="5">
        <v>4131000</v>
      </c>
      <c r="K27" s="5">
        <v>201690</v>
      </c>
      <c r="O27" s="5">
        <v>0.16874999999998966</v>
      </c>
      <c r="P27" s="5">
        <v>-5.6249999999994603E-3</v>
      </c>
      <c r="Q27" s="5">
        <v>-1.8749999999999538E-2</v>
      </c>
      <c r="R27" s="5">
        <v>6.2499999999993637E-4</v>
      </c>
      <c r="S27" s="5">
        <v>7.2822959209507551E-19</v>
      </c>
      <c r="T27" s="5">
        <v>8.08052455357152E-17</v>
      </c>
    </row>
    <row r="28" spans="4:20" x14ac:dyDescent="0.25">
      <c r="F28" s="5">
        <v>10500</v>
      </c>
      <c r="G28" s="5">
        <v>459000</v>
      </c>
      <c r="H28" s="5">
        <v>94500</v>
      </c>
      <c r="I28" s="5">
        <v>4131000</v>
      </c>
      <c r="J28" s="5">
        <v>21210000</v>
      </c>
      <c r="K28" s="5">
        <v>857500</v>
      </c>
      <c r="O28" s="5">
        <v>1.9791666666669023E-3</v>
      </c>
      <c r="P28" s="5">
        <v>-1.8749999999999954E-4</v>
      </c>
      <c r="Q28" s="5">
        <v>-5.5634957222080653E-17</v>
      </c>
      <c r="R28" s="5">
        <v>-2.1286502653152067E-19</v>
      </c>
      <c r="S28" s="5">
        <v>3.1250000000000247E-6</v>
      </c>
      <c r="T28" s="5">
        <v>3.4464132792439344E-18</v>
      </c>
    </row>
    <row r="29" spans="4:20" x14ac:dyDescent="0.25">
      <c r="F29" s="5">
        <v>735</v>
      </c>
      <c r="G29" s="5">
        <v>22050</v>
      </c>
      <c r="H29" s="5">
        <v>6723</v>
      </c>
      <c r="I29" s="5">
        <v>201690</v>
      </c>
      <c r="J29" s="5">
        <v>857500</v>
      </c>
      <c r="K29" s="5">
        <v>61971</v>
      </c>
      <c r="O29" s="5">
        <v>40.166666666472686</v>
      </c>
      <c r="P29" s="5">
        <v>2.8930330353420689E-13</v>
      </c>
      <c r="Q29" s="5">
        <v>-8.9999999999576001</v>
      </c>
      <c r="R29" s="5">
        <v>-3.2547460097281671E-14</v>
      </c>
      <c r="S29" s="5">
        <v>1.3064636178387234E-16</v>
      </c>
      <c r="T29" s="5">
        <v>0.49999999999770312</v>
      </c>
    </row>
    <row r="32" spans="4:20" x14ac:dyDescent="0.25">
      <c r="F32" s="6" t="s">
        <v>40</v>
      </c>
    </row>
    <row r="33" spans="7:23" x14ac:dyDescent="0.25">
      <c r="G33" s="6" cm="1">
        <f t="array" ref="G33:G38">MMULT(_xlfn.ANCHORARRAY(O24),_xlfn.ANCHORARRAY(W10))</f>
        <v>1.2873611115501262</v>
      </c>
      <c r="H33" s="6" t="s">
        <v>16</v>
      </c>
      <c r="N33" s="5" t="s">
        <v>37</v>
      </c>
    </row>
    <row r="34" spans="7:23" x14ac:dyDescent="0.25">
      <c r="G34" s="6">
        <v>0.11799999999991544</v>
      </c>
      <c r="H34" s="6" t="s">
        <v>17</v>
      </c>
      <c r="O34" s="5" cm="1">
        <f t="array" ref="O34:W39">TRANSPOSE(E11:J19)</f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</row>
    <row r="35" spans="7:23" x14ac:dyDescent="0.25">
      <c r="G35" s="6">
        <v>-0.87333333340939134</v>
      </c>
      <c r="H35" s="6" t="s">
        <v>18</v>
      </c>
      <c r="O35" s="5">
        <v>10</v>
      </c>
      <c r="P35" s="5">
        <v>50</v>
      </c>
      <c r="Q35" s="5">
        <v>50</v>
      </c>
      <c r="R35" s="5">
        <v>10</v>
      </c>
      <c r="S35" s="5">
        <v>50</v>
      </c>
      <c r="T35" s="5">
        <v>30</v>
      </c>
      <c r="U35" s="5">
        <v>10</v>
      </c>
      <c r="V35" s="5">
        <v>30</v>
      </c>
      <c r="W35" s="5">
        <v>30</v>
      </c>
    </row>
    <row r="36" spans="7:23" x14ac:dyDescent="0.25">
      <c r="G36" s="6">
        <v>2.9000000000015801E-2</v>
      </c>
      <c r="H36" s="6" t="s">
        <v>19</v>
      </c>
      <c r="O36" s="5">
        <v>8</v>
      </c>
      <c r="P36" s="5">
        <v>8</v>
      </c>
      <c r="Q36" s="5">
        <v>10</v>
      </c>
      <c r="R36" s="5">
        <v>10</v>
      </c>
      <c r="S36" s="5">
        <v>9</v>
      </c>
      <c r="T36" s="5">
        <v>9</v>
      </c>
      <c r="U36" s="5">
        <v>9</v>
      </c>
      <c r="V36" s="5">
        <v>8</v>
      </c>
      <c r="W36" s="5">
        <v>10</v>
      </c>
    </row>
    <row r="37" spans="7:23" x14ac:dyDescent="0.25">
      <c r="G37" s="6">
        <v>-4.1291666666666161E-3</v>
      </c>
      <c r="H37" s="6" t="s">
        <v>20</v>
      </c>
      <c r="O37" s="5">
        <v>80</v>
      </c>
      <c r="P37" s="5">
        <v>400</v>
      </c>
      <c r="Q37" s="5">
        <v>500</v>
      </c>
      <c r="R37" s="5">
        <v>100</v>
      </c>
      <c r="S37" s="5">
        <v>450</v>
      </c>
      <c r="T37" s="5">
        <v>270</v>
      </c>
      <c r="U37" s="5">
        <v>90</v>
      </c>
      <c r="V37" s="5">
        <v>240</v>
      </c>
      <c r="W37" s="5">
        <v>300</v>
      </c>
    </row>
    <row r="38" spans="7:23" x14ac:dyDescent="0.25">
      <c r="G38" s="6">
        <v>7.3333333337814111E-2</v>
      </c>
      <c r="H38" s="6" t="s">
        <v>21</v>
      </c>
      <c r="O38" s="5">
        <v>100</v>
      </c>
      <c r="P38" s="5">
        <v>2500</v>
      </c>
      <c r="Q38" s="5">
        <v>2500</v>
      </c>
      <c r="R38" s="5">
        <v>100</v>
      </c>
      <c r="S38" s="5">
        <v>2500</v>
      </c>
      <c r="T38" s="5">
        <v>900</v>
      </c>
      <c r="U38" s="5">
        <v>100</v>
      </c>
      <c r="V38" s="5">
        <v>900</v>
      </c>
      <c r="W38" s="5">
        <v>900</v>
      </c>
    </row>
    <row r="39" spans="7:23" x14ac:dyDescent="0.25">
      <c r="O39" s="5">
        <v>64</v>
      </c>
      <c r="P39" s="5">
        <v>64</v>
      </c>
      <c r="Q39" s="5">
        <v>100</v>
      </c>
      <c r="R39" s="5">
        <v>100</v>
      </c>
      <c r="S39" s="5">
        <v>81</v>
      </c>
      <c r="T39" s="5">
        <v>81</v>
      </c>
      <c r="U39" s="5">
        <v>81</v>
      </c>
      <c r="V39" s="5">
        <v>64</v>
      </c>
      <c r="W39" s="5">
        <v>100</v>
      </c>
    </row>
    <row r="43" spans="7:23" x14ac:dyDescent="0.25">
      <c r="L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tounkara</dc:creator>
  <cp:lastModifiedBy>pelvoux2</cp:lastModifiedBy>
  <dcterms:created xsi:type="dcterms:W3CDTF">2026-05-19T13:25:03Z</dcterms:created>
  <dcterms:modified xsi:type="dcterms:W3CDTF">2026-05-20T07:12:04Z</dcterms:modified>
</cp:coreProperties>
</file>